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376436_wf_uct_ac_za/Documents/Documents/Git/SCRDesign/CLT/"/>
    </mc:Choice>
  </mc:AlternateContent>
  <xr:revisionPtr revIDLastSave="317" documentId="8_{BA0E2843-9735-4D16-8E1C-914C95522EEC}" xr6:coauthVersionLast="47" xr6:coauthVersionMax="47" xr10:uidLastSave="{B8CBEB81-0889-4102-BFEB-3A2650DFAF32}"/>
  <bookViews>
    <workbookView xWindow="-1500" yWindow="0" windowWidth="23370" windowHeight="12660" activeTab="1" xr2:uid="{5EA1D719-1B75-431B-B15F-DBE2B506F473}"/>
  </bookViews>
  <sheets>
    <sheet name="Initial mask" sheetId="1" r:id="rId1"/>
    <sheet name="Revised m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8" i="2"/>
  <c r="J22" i="2"/>
  <c r="J21" i="2"/>
  <c r="J13" i="2"/>
  <c r="J12" i="2"/>
  <c r="I18" i="2"/>
  <c r="I17" i="2"/>
  <c r="I9" i="2"/>
  <c r="I8" i="2"/>
  <c r="G35" i="2"/>
  <c r="B35" i="2"/>
  <c r="G34" i="2"/>
  <c r="B34" i="2"/>
  <c r="F31" i="2"/>
  <c r="E31" i="2"/>
  <c r="F30" i="2"/>
  <c r="E30" i="2"/>
  <c r="F15" i="2"/>
  <c r="E15" i="2"/>
  <c r="B15" i="2"/>
  <c r="F14" i="2"/>
  <c r="E14" i="2"/>
  <c r="B14" i="2"/>
  <c r="O32" i="1"/>
  <c r="O31" i="1"/>
  <c r="O16" i="1"/>
  <c r="O15" i="1"/>
  <c r="J16" i="1"/>
  <c r="J15" i="1"/>
  <c r="G20" i="1"/>
  <c r="G19" i="1"/>
  <c r="G36" i="1"/>
  <c r="G35" i="1"/>
  <c r="F31" i="1"/>
  <c r="F32" i="1"/>
  <c r="F16" i="1"/>
  <c r="F15" i="1"/>
  <c r="B35" i="1"/>
  <c r="B36" i="1"/>
  <c r="C40" i="1"/>
  <c r="C39" i="1"/>
  <c r="E32" i="1"/>
  <c r="E31" i="1"/>
  <c r="E15" i="1"/>
  <c r="E16" i="1"/>
  <c r="B16" i="1"/>
  <c r="B15" i="1"/>
</calcChain>
</file>

<file path=xl/sharedStrings.xml><?xml version="1.0" encoding="utf-8"?>
<sst xmlns="http://schemas.openxmlformats.org/spreadsheetml/2006/main" count="216" uniqueCount="56">
  <si>
    <t>CLT Results</t>
  </si>
  <si>
    <t>Occasions</t>
  </si>
  <si>
    <t>Mask</t>
  </si>
  <si>
    <t>Simple mask no buffer</t>
  </si>
  <si>
    <t>Multi</t>
  </si>
  <si>
    <t>Null model</t>
  </si>
  <si>
    <t>D</t>
  </si>
  <si>
    <t>Sigma</t>
  </si>
  <si>
    <t>L0</t>
  </si>
  <si>
    <t>~ Sex</t>
  </si>
  <si>
    <t>DF</t>
  </si>
  <si>
    <t>DM</t>
  </si>
  <si>
    <t>SF</t>
  </si>
  <si>
    <t>SM</t>
  </si>
  <si>
    <t>L0F</t>
  </si>
  <si>
    <t>L0M</t>
  </si>
  <si>
    <t>Data</t>
  </si>
  <si>
    <t>pmix</t>
  </si>
  <si>
    <t>Dtotal</t>
  </si>
  <si>
    <t>Pmix</t>
  </si>
  <si>
    <t>All together</t>
  </si>
  <si>
    <t>Areas seperately</t>
  </si>
  <si>
    <t>Null model (North)</t>
  </si>
  <si>
    <t>~ Sex (North)</t>
  </si>
  <si>
    <t>D.N</t>
  </si>
  <si>
    <t>Sigma.N</t>
  </si>
  <si>
    <t>L0.N</t>
  </si>
  <si>
    <t>pmix.N</t>
  </si>
  <si>
    <t>Dtotal.N</t>
  </si>
  <si>
    <t>Pmix.N</t>
  </si>
  <si>
    <t>DF.N</t>
  </si>
  <si>
    <t>DM.N</t>
  </si>
  <si>
    <t>SF.N</t>
  </si>
  <si>
    <t>SM.N</t>
  </si>
  <si>
    <t>L0F.N</t>
  </si>
  <si>
    <t>L0M.N</t>
  </si>
  <si>
    <t>Null model (South)</t>
  </si>
  <si>
    <t>D.S</t>
  </si>
  <si>
    <t>Sigma.S</t>
  </si>
  <si>
    <t>L0.S</t>
  </si>
  <si>
    <t>pmix.S</t>
  </si>
  <si>
    <t>~ Sex (South)</t>
  </si>
  <si>
    <t>Dtotal.S</t>
  </si>
  <si>
    <t>Pmix.S</t>
  </si>
  <si>
    <t>DF.S</t>
  </si>
  <si>
    <t>DM.S</t>
  </si>
  <si>
    <t>SF.S</t>
  </si>
  <si>
    <t>SM.S</t>
  </si>
  <si>
    <t>L0F.S</t>
  </si>
  <si>
    <t>L0M.S</t>
  </si>
  <si>
    <t>With one pmix estimate</t>
  </si>
  <si>
    <t>Complex mask no buffer</t>
  </si>
  <si>
    <t>From MS model</t>
  </si>
  <si>
    <t>North</t>
  </si>
  <si>
    <t>South</t>
  </si>
  <si>
    <t>Best AIC has h2*session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</si>
</sst>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AADD-0693-4B24-B2CA-AB3B5F9801E6}">
  <dimension ref="A1:Q40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20.85546875" bestFit="1" customWidth="1"/>
    <col min="5" max="5" width="10.42578125" bestFit="1" customWidth="1"/>
    <col min="6" max="6" width="21.85546875" bestFit="1" customWidth="1"/>
  </cols>
  <sheetData>
    <row r="1" spans="1:16" x14ac:dyDescent="0.25">
      <c r="A1" s="3" t="s">
        <v>0</v>
      </c>
      <c r="B1" s="3"/>
      <c r="C1" s="3"/>
      <c r="D1" s="3"/>
      <c r="E1" s="3"/>
      <c r="F1" s="3"/>
    </row>
    <row r="2" spans="1:16" x14ac:dyDescent="0.25">
      <c r="A2" s="1"/>
      <c r="B2" s="1"/>
      <c r="C2" s="1"/>
      <c r="D2" s="1"/>
      <c r="E2" s="1"/>
      <c r="F2" s="1"/>
    </row>
    <row r="3" spans="1:16" x14ac:dyDescent="0.25">
      <c r="A3" t="s">
        <v>16</v>
      </c>
      <c r="B3" t="s">
        <v>20</v>
      </c>
      <c r="D3" t="s">
        <v>16</v>
      </c>
      <c r="E3" t="s">
        <v>21</v>
      </c>
      <c r="I3" t="s">
        <v>16</v>
      </c>
      <c r="J3" t="s">
        <v>20</v>
      </c>
      <c r="N3" t="s">
        <v>16</v>
      </c>
      <c r="O3" t="s">
        <v>21</v>
      </c>
    </row>
    <row r="4" spans="1:16" x14ac:dyDescent="0.25">
      <c r="A4" t="s">
        <v>2</v>
      </c>
      <c r="B4" t="s">
        <v>3</v>
      </c>
      <c r="D4" t="s">
        <v>2</v>
      </c>
      <c r="E4" t="s">
        <v>3</v>
      </c>
      <c r="I4" t="s">
        <v>2</v>
      </c>
      <c r="J4" t="s">
        <v>51</v>
      </c>
      <c r="N4" t="s">
        <v>2</v>
      </c>
      <c r="O4" t="s">
        <v>51</v>
      </c>
    </row>
    <row r="5" spans="1:16" x14ac:dyDescent="0.25">
      <c r="A5" t="s">
        <v>1</v>
      </c>
      <c r="B5" t="s">
        <v>4</v>
      </c>
      <c r="D5" t="s">
        <v>1</v>
      </c>
      <c r="E5" t="s">
        <v>4</v>
      </c>
      <c r="I5" t="s">
        <v>1</v>
      </c>
      <c r="J5">
        <v>1</v>
      </c>
      <c r="N5" t="s">
        <v>1</v>
      </c>
      <c r="O5">
        <v>1</v>
      </c>
    </row>
    <row r="6" spans="1:16" x14ac:dyDescent="0.25">
      <c r="A6" s="3" t="s">
        <v>5</v>
      </c>
      <c r="B6" s="3"/>
      <c r="D6" s="3" t="s">
        <v>22</v>
      </c>
      <c r="E6" s="3"/>
      <c r="F6" s="1"/>
      <c r="I6" s="3" t="s">
        <v>5</v>
      </c>
      <c r="J6" s="3"/>
      <c r="N6" s="3" t="s">
        <v>22</v>
      </c>
      <c r="O6" s="3"/>
    </row>
    <row r="7" spans="1:16" x14ac:dyDescent="0.25">
      <c r="A7" t="s">
        <v>6</v>
      </c>
      <c r="B7" s="1">
        <v>1.68</v>
      </c>
      <c r="D7" t="s">
        <v>24</v>
      </c>
      <c r="E7" s="1">
        <v>2.0499999999999998</v>
      </c>
      <c r="I7" t="s">
        <v>6</v>
      </c>
      <c r="J7" s="1">
        <v>1.79</v>
      </c>
      <c r="N7" t="s">
        <v>24</v>
      </c>
      <c r="O7" s="1">
        <v>2.0499999999999998</v>
      </c>
    </row>
    <row r="8" spans="1:16" x14ac:dyDescent="0.25">
      <c r="A8" t="s">
        <v>7</v>
      </c>
      <c r="B8" s="1">
        <v>4270</v>
      </c>
      <c r="D8" t="s">
        <v>25</v>
      </c>
      <c r="E8" s="1">
        <v>3430</v>
      </c>
      <c r="I8" t="s">
        <v>7</v>
      </c>
      <c r="J8" s="1">
        <v>4274</v>
      </c>
      <c r="N8" t="s">
        <v>25</v>
      </c>
      <c r="O8" s="1">
        <v>3430</v>
      </c>
    </row>
    <row r="9" spans="1:16" x14ac:dyDescent="0.25">
      <c r="A9" t="s">
        <v>8</v>
      </c>
      <c r="B9" s="1">
        <v>2.0500000000000001E-2</v>
      </c>
      <c r="D9" t="s">
        <v>26</v>
      </c>
      <c r="E9" s="1">
        <v>2.7900000000000001E-2</v>
      </c>
      <c r="I9" t="s">
        <v>8</v>
      </c>
      <c r="J9" s="1">
        <v>2.0400000000000001E-2</v>
      </c>
      <c r="N9" t="s">
        <v>26</v>
      </c>
      <c r="O9" s="1">
        <v>2.7900000000000001E-2</v>
      </c>
    </row>
    <row r="10" spans="1:16" x14ac:dyDescent="0.25">
      <c r="A10" t="s">
        <v>17</v>
      </c>
      <c r="B10" s="1">
        <v>0.436</v>
      </c>
      <c r="D10" t="s">
        <v>27</v>
      </c>
      <c r="E10" s="1">
        <v>0.40899999999999997</v>
      </c>
      <c r="I10" t="s">
        <v>17</v>
      </c>
      <c r="J10" s="1">
        <v>0.436</v>
      </c>
      <c r="N10" t="s">
        <v>27</v>
      </c>
      <c r="O10" s="1">
        <v>0.442</v>
      </c>
    </row>
    <row r="12" spans="1:16" x14ac:dyDescent="0.25">
      <c r="A12" s="3" t="s">
        <v>9</v>
      </c>
      <c r="B12" s="3"/>
      <c r="D12" s="3" t="s">
        <v>23</v>
      </c>
      <c r="E12" s="3"/>
      <c r="F12" s="2" t="s">
        <v>50</v>
      </c>
      <c r="I12" s="3" t="s">
        <v>9</v>
      </c>
      <c r="J12" s="3"/>
      <c r="N12" s="3" t="s">
        <v>23</v>
      </c>
      <c r="O12" s="3"/>
      <c r="P12" s="2"/>
    </row>
    <row r="13" spans="1:16" x14ac:dyDescent="0.25">
      <c r="A13" t="s">
        <v>18</v>
      </c>
      <c r="B13" s="1">
        <v>1.77</v>
      </c>
      <c r="D13" t="s">
        <v>28</v>
      </c>
      <c r="E13" s="1">
        <v>2.1</v>
      </c>
      <c r="F13" s="1">
        <v>2.1</v>
      </c>
      <c r="I13" t="s">
        <v>18</v>
      </c>
      <c r="J13" s="1">
        <v>1.86</v>
      </c>
      <c r="N13" t="s">
        <v>28</v>
      </c>
      <c r="O13" s="1">
        <v>2.1</v>
      </c>
      <c r="P13" s="1"/>
    </row>
    <row r="14" spans="1:16" x14ac:dyDescent="0.25">
      <c r="A14" t="s">
        <v>19</v>
      </c>
      <c r="B14" s="1">
        <v>0.51</v>
      </c>
      <c r="D14" t="s">
        <v>29</v>
      </c>
      <c r="E14" s="1">
        <v>0.47199999999999998</v>
      </c>
      <c r="F14" s="1">
        <v>0.53</v>
      </c>
      <c r="I14" t="s">
        <v>19</v>
      </c>
      <c r="J14" s="1">
        <v>0.51</v>
      </c>
      <c r="N14" t="s">
        <v>29</v>
      </c>
      <c r="O14" s="1">
        <v>0.47199999999999998</v>
      </c>
      <c r="P14" s="1"/>
    </row>
    <row r="15" spans="1:16" x14ac:dyDescent="0.25">
      <c r="A15" t="s">
        <v>10</v>
      </c>
      <c r="B15" s="1">
        <f>B13*B14</f>
        <v>0.90270000000000006</v>
      </c>
      <c r="D15" t="s">
        <v>30</v>
      </c>
      <c r="E15" s="1">
        <f>E13*E14</f>
        <v>0.99119999999999997</v>
      </c>
      <c r="F15" s="1">
        <f>F13*F14</f>
        <v>1.1130000000000002</v>
      </c>
      <c r="I15" t="s">
        <v>10</v>
      </c>
      <c r="J15" s="1">
        <f>J13*J14</f>
        <v>0.94860000000000011</v>
      </c>
      <c r="N15" t="s">
        <v>30</v>
      </c>
      <c r="O15" s="1">
        <f>O13*O14</f>
        <v>0.99119999999999997</v>
      </c>
      <c r="P15" s="1"/>
    </row>
    <row r="16" spans="1:16" x14ac:dyDescent="0.25">
      <c r="A16" t="s">
        <v>11</v>
      </c>
      <c r="B16" s="1">
        <f>B13*(1-B14)</f>
        <v>0.86729999999999996</v>
      </c>
      <c r="D16" t="s">
        <v>31</v>
      </c>
      <c r="E16" s="1">
        <f>E13*(1-E14)</f>
        <v>1.1088</v>
      </c>
      <c r="F16" s="1">
        <f>F13*(1-F14)</f>
        <v>0.98699999999999999</v>
      </c>
      <c r="I16" t="s">
        <v>11</v>
      </c>
      <c r="J16" s="1">
        <f>J13*(1-J14)</f>
        <v>0.91139999999999999</v>
      </c>
      <c r="N16" t="s">
        <v>31</v>
      </c>
      <c r="O16" s="1">
        <f>O13*(1-O14)</f>
        <v>1.1088</v>
      </c>
      <c r="P16" s="1"/>
    </row>
    <row r="17" spans="1:16" x14ac:dyDescent="0.25">
      <c r="A17" t="s">
        <v>12</v>
      </c>
      <c r="B17" s="1">
        <v>2388</v>
      </c>
      <c r="D17" t="s">
        <v>32</v>
      </c>
      <c r="E17" s="1">
        <v>2604</v>
      </c>
      <c r="F17" s="1">
        <v>2597</v>
      </c>
      <c r="I17" t="s">
        <v>12</v>
      </c>
      <c r="J17" s="1">
        <v>2396</v>
      </c>
      <c r="N17" t="s">
        <v>32</v>
      </c>
      <c r="O17" s="1">
        <v>2604</v>
      </c>
      <c r="P17" s="1"/>
    </row>
    <row r="18" spans="1:16" x14ac:dyDescent="0.25">
      <c r="A18" t="s">
        <v>13</v>
      </c>
      <c r="B18" s="1">
        <v>4785</v>
      </c>
      <c r="D18" t="s">
        <v>33</v>
      </c>
      <c r="E18" s="1">
        <v>3694</v>
      </c>
      <c r="F18" s="1">
        <v>3699</v>
      </c>
      <c r="I18" t="s">
        <v>13</v>
      </c>
      <c r="J18" s="1">
        <v>4792</v>
      </c>
      <c r="N18" t="s">
        <v>33</v>
      </c>
      <c r="O18" s="1">
        <v>3694</v>
      </c>
      <c r="P18" s="1"/>
    </row>
    <row r="19" spans="1:16" x14ac:dyDescent="0.25">
      <c r="A19" t="s">
        <v>14</v>
      </c>
      <c r="B19" s="1">
        <v>2.86E-2</v>
      </c>
      <c r="D19" t="s">
        <v>34</v>
      </c>
      <c r="E19" s="1">
        <v>2.4400000000000002E-2</v>
      </c>
      <c r="F19" s="1">
        <v>2.4E-2</v>
      </c>
      <c r="G19">
        <f>F19*130</f>
        <v>3.12</v>
      </c>
      <c r="I19" t="s">
        <v>14</v>
      </c>
      <c r="J19" s="1">
        <v>2.8500000000000001E-2</v>
      </c>
      <c r="N19" t="s">
        <v>34</v>
      </c>
      <c r="O19" s="1">
        <v>2.4400000000000002E-2</v>
      </c>
      <c r="P19" s="1"/>
    </row>
    <row r="20" spans="1:16" x14ac:dyDescent="0.25">
      <c r="A20" t="s">
        <v>15</v>
      </c>
      <c r="B20" s="1">
        <v>2.3900000000000001E-2</v>
      </c>
      <c r="D20" t="s">
        <v>35</v>
      </c>
      <c r="E20" s="1">
        <v>3.2800000000000003E-2</v>
      </c>
      <c r="F20" s="1">
        <v>3.2800000000000003E-2</v>
      </c>
      <c r="G20">
        <f>F20*130</f>
        <v>4.2640000000000002</v>
      </c>
      <c r="I20" t="s">
        <v>15</v>
      </c>
      <c r="J20" s="1">
        <v>2.3800000000000002E-2</v>
      </c>
      <c r="N20" t="s">
        <v>35</v>
      </c>
      <c r="O20" s="1">
        <v>3.2800000000000003E-2</v>
      </c>
      <c r="P20" s="1"/>
    </row>
    <row r="21" spans="1:16" x14ac:dyDescent="0.25">
      <c r="B21" s="1"/>
    </row>
    <row r="22" spans="1:16" x14ac:dyDescent="0.25">
      <c r="D22" s="3" t="s">
        <v>36</v>
      </c>
      <c r="E22" s="3"/>
      <c r="N22" s="3" t="s">
        <v>36</v>
      </c>
      <c r="O22" s="3"/>
    </row>
    <row r="23" spans="1:16" x14ac:dyDescent="0.25">
      <c r="A23" t="s">
        <v>16</v>
      </c>
      <c r="B23" t="s">
        <v>20</v>
      </c>
      <c r="D23" t="s">
        <v>37</v>
      </c>
      <c r="E23" s="1">
        <v>1.2889999999999999</v>
      </c>
      <c r="N23" t="s">
        <v>37</v>
      </c>
      <c r="O23" s="1">
        <v>1.42</v>
      </c>
    </row>
    <row r="24" spans="1:16" x14ac:dyDescent="0.25">
      <c r="A24" t="s">
        <v>2</v>
      </c>
      <c r="B24" t="s">
        <v>3</v>
      </c>
      <c r="D24" t="s">
        <v>38</v>
      </c>
      <c r="E24" s="1">
        <v>5298</v>
      </c>
      <c r="N24" t="s">
        <v>38</v>
      </c>
      <c r="O24" s="1">
        <v>5308</v>
      </c>
    </row>
    <row r="25" spans="1:16" x14ac:dyDescent="0.25">
      <c r="A25" t="s">
        <v>1</v>
      </c>
      <c r="B25">
        <v>1</v>
      </c>
      <c r="D25" t="s">
        <v>39</v>
      </c>
      <c r="E25" s="1">
        <v>2.1000000000000001E-2</v>
      </c>
      <c r="N25" t="s">
        <v>39</v>
      </c>
      <c r="O25" s="1">
        <v>2.1000000000000001E-2</v>
      </c>
    </row>
    <row r="26" spans="1:16" x14ac:dyDescent="0.25">
      <c r="A26" s="3" t="s">
        <v>5</v>
      </c>
      <c r="B26" s="3"/>
      <c r="D26" t="s">
        <v>40</v>
      </c>
      <c r="E26" s="1">
        <v>0.47599999999999998</v>
      </c>
      <c r="N26" t="s">
        <v>40</v>
      </c>
      <c r="O26" s="1">
        <v>0.442</v>
      </c>
    </row>
    <row r="27" spans="1:16" x14ac:dyDescent="0.25">
      <c r="A27" t="s">
        <v>6</v>
      </c>
      <c r="B27" s="1">
        <v>1.68</v>
      </c>
    </row>
    <row r="28" spans="1:16" x14ac:dyDescent="0.25">
      <c r="A28" t="s">
        <v>7</v>
      </c>
      <c r="B28" s="1">
        <v>4270</v>
      </c>
      <c r="D28" s="3" t="s">
        <v>41</v>
      </c>
      <c r="E28" s="3"/>
      <c r="F28" s="2" t="s">
        <v>50</v>
      </c>
      <c r="N28" s="3" t="s">
        <v>41</v>
      </c>
      <c r="O28" s="3"/>
      <c r="P28" s="2"/>
    </row>
    <row r="29" spans="1:16" x14ac:dyDescent="0.25">
      <c r="A29" t="s">
        <v>8</v>
      </c>
      <c r="B29" s="1">
        <v>0.02</v>
      </c>
      <c r="D29" t="s">
        <v>42</v>
      </c>
      <c r="E29" s="1">
        <v>1.4970000000000001</v>
      </c>
      <c r="F29" s="1">
        <v>1.492</v>
      </c>
      <c r="N29" t="s">
        <v>42</v>
      </c>
      <c r="O29" s="1">
        <v>1.59</v>
      </c>
      <c r="P29" s="1"/>
    </row>
    <row r="30" spans="1:16" x14ac:dyDescent="0.25">
      <c r="A30" t="s">
        <v>17</v>
      </c>
      <c r="B30" s="1">
        <v>0.44</v>
      </c>
      <c r="D30" t="s">
        <v>43</v>
      </c>
      <c r="E30" s="1">
        <v>0.59</v>
      </c>
      <c r="F30" s="1">
        <v>0.53</v>
      </c>
      <c r="N30" t="s">
        <v>43</v>
      </c>
      <c r="O30" s="1">
        <v>0.57999999999999996</v>
      </c>
      <c r="P30" s="1"/>
    </row>
    <row r="31" spans="1:16" x14ac:dyDescent="0.25">
      <c r="D31" t="s">
        <v>44</v>
      </c>
      <c r="E31" s="1">
        <f>E29*E30</f>
        <v>0.88323000000000007</v>
      </c>
      <c r="F31" s="1">
        <f>F29*F30</f>
        <v>0.79076000000000002</v>
      </c>
      <c r="N31" t="s">
        <v>44</v>
      </c>
      <c r="O31" s="1">
        <f>O29*O30</f>
        <v>0.92220000000000002</v>
      </c>
      <c r="P31" s="1"/>
    </row>
    <row r="32" spans="1:16" x14ac:dyDescent="0.25">
      <c r="A32" s="3" t="s">
        <v>9</v>
      </c>
      <c r="B32" s="3"/>
      <c r="D32" t="s">
        <v>45</v>
      </c>
      <c r="E32" s="1">
        <f>E29*(1-E30)</f>
        <v>0.61377000000000004</v>
      </c>
      <c r="F32" s="1">
        <f>F29*(1-F30)</f>
        <v>0.70123999999999997</v>
      </c>
      <c r="N32" t="s">
        <v>45</v>
      </c>
      <c r="O32" s="1">
        <f>O29*(1-O30)</f>
        <v>0.66780000000000006</v>
      </c>
      <c r="P32" s="1"/>
    </row>
    <row r="33" spans="1:17" x14ac:dyDescent="0.25">
      <c r="A33" t="s">
        <v>18</v>
      </c>
      <c r="B33" s="1">
        <v>1.77</v>
      </c>
      <c r="D33" t="s">
        <v>46</v>
      </c>
      <c r="E33" s="1">
        <v>1940</v>
      </c>
      <c r="F33" s="1">
        <v>1948</v>
      </c>
      <c r="N33" t="s">
        <v>46</v>
      </c>
      <c r="O33" s="1">
        <v>1951</v>
      </c>
      <c r="P33" s="1"/>
    </row>
    <row r="34" spans="1:17" x14ac:dyDescent="0.25">
      <c r="A34" t="s">
        <v>19</v>
      </c>
      <c r="B34" s="1">
        <v>0.51</v>
      </c>
      <c r="D34" t="s">
        <v>47</v>
      </c>
      <c r="E34" s="1">
        <v>6509</v>
      </c>
      <c r="F34" s="1">
        <v>6499</v>
      </c>
      <c r="N34" t="s">
        <v>47</v>
      </c>
      <c r="O34" s="1">
        <v>6543</v>
      </c>
      <c r="P34" s="1"/>
    </row>
    <row r="35" spans="1:17" x14ac:dyDescent="0.25">
      <c r="A35" t="s">
        <v>10</v>
      </c>
      <c r="B35" s="1">
        <f>B33*B34</f>
        <v>0.90270000000000006</v>
      </c>
      <c r="D35" t="s">
        <v>48</v>
      </c>
      <c r="E35" s="1">
        <v>4.7800000000000002E-2</v>
      </c>
      <c r="F35" s="1">
        <v>4.7800000000000002E-2</v>
      </c>
      <c r="G35" s="1">
        <f>F35*130</f>
        <v>6.2140000000000004</v>
      </c>
      <c r="N35" t="s">
        <v>48</v>
      </c>
      <c r="O35" s="1">
        <v>4.7399999999999998E-2</v>
      </c>
      <c r="P35" s="1"/>
      <c r="Q35" s="1"/>
    </row>
    <row r="36" spans="1:17" x14ac:dyDescent="0.25">
      <c r="A36" t="s">
        <v>11</v>
      </c>
      <c r="B36" s="1">
        <f>B33*(1-B34)</f>
        <v>0.86729999999999996</v>
      </c>
      <c r="D36" t="s">
        <v>49</v>
      </c>
      <c r="E36" s="1">
        <v>2.5000000000000001E-2</v>
      </c>
      <c r="F36" s="1">
        <v>2.5000000000000001E-2</v>
      </c>
      <c r="G36" s="1">
        <f>F36*130</f>
        <v>3.25</v>
      </c>
      <c r="N36" t="s">
        <v>49</v>
      </c>
      <c r="O36" s="1">
        <v>2.4899999999999999E-2</v>
      </c>
      <c r="P36" s="1"/>
      <c r="Q36" s="1"/>
    </row>
    <row r="37" spans="1:17" x14ac:dyDescent="0.25">
      <c r="A37" t="s">
        <v>12</v>
      </c>
      <c r="B37" s="1">
        <v>2388</v>
      </c>
    </row>
    <row r="38" spans="1:17" x14ac:dyDescent="0.25">
      <c r="A38" t="s">
        <v>13</v>
      </c>
      <c r="B38" s="1">
        <v>4785</v>
      </c>
    </row>
    <row r="39" spans="1:17" x14ac:dyDescent="0.25">
      <c r="A39" t="s">
        <v>14</v>
      </c>
      <c r="B39" s="1">
        <v>2.9000000000000001E-2</v>
      </c>
      <c r="C39">
        <f>B39*130</f>
        <v>3.77</v>
      </c>
      <c r="E39" s="1"/>
    </row>
    <row r="40" spans="1:17" x14ac:dyDescent="0.25">
      <c r="A40" t="s">
        <v>15</v>
      </c>
      <c r="B40" s="1">
        <v>2.4E-2</v>
      </c>
      <c r="C40">
        <f>B40*130</f>
        <v>3.12</v>
      </c>
      <c r="E40" s="1"/>
    </row>
  </sheetData>
  <mergeCells count="15">
    <mergeCell ref="A1:F1"/>
    <mergeCell ref="D6:E6"/>
    <mergeCell ref="D12:E12"/>
    <mergeCell ref="D22:E22"/>
    <mergeCell ref="D28:E28"/>
    <mergeCell ref="A26:B26"/>
    <mergeCell ref="A32:B32"/>
    <mergeCell ref="A6:B6"/>
    <mergeCell ref="A12:B12"/>
    <mergeCell ref="N6:O6"/>
    <mergeCell ref="I6:J6"/>
    <mergeCell ref="I12:J12"/>
    <mergeCell ref="N12:O12"/>
    <mergeCell ref="N22:O22"/>
    <mergeCell ref="N28:O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23B3-D116-4C4B-BA44-E217457FF066}">
  <dimension ref="A1:Q39"/>
  <sheetViews>
    <sheetView tabSelected="1" workbookViewId="0">
      <selection activeCell="H14" sqref="H14:I14"/>
    </sheetView>
  </sheetViews>
  <sheetFormatPr defaultRowHeight="15" x14ac:dyDescent="0.25"/>
  <cols>
    <col min="1" max="1" width="15.42578125" bestFit="1" customWidth="1"/>
    <col min="2" max="2" width="20.85546875" bestFit="1" customWidth="1"/>
    <col min="5" max="5" width="10.42578125" bestFit="1" customWidth="1"/>
    <col min="6" max="6" width="21.85546875" bestFit="1" customWidth="1"/>
  </cols>
  <sheetData>
    <row r="1" spans="1:16" x14ac:dyDescent="0.25">
      <c r="A1" s="3" t="s">
        <v>0</v>
      </c>
      <c r="B1" s="3"/>
      <c r="C1" s="3"/>
      <c r="D1" s="3"/>
      <c r="E1" s="3"/>
      <c r="F1" s="3"/>
    </row>
    <row r="2" spans="1:16" x14ac:dyDescent="0.25">
      <c r="A2" s="1"/>
      <c r="B2" s="1"/>
      <c r="C2" s="1"/>
      <c r="D2" s="1"/>
      <c r="E2" s="1"/>
      <c r="F2" s="1"/>
    </row>
    <row r="3" spans="1:16" x14ac:dyDescent="0.25">
      <c r="A3" t="s">
        <v>16</v>
      </c>
      <c r="B3" t="s">
        <v>20</v>
      </c>
      <c r="D3" t="s">
        <v>16</v>
      </c>
      <c r="E3" t="s">
        <v>21</v>
      </c>
      <c r="H3" t="s">
        <v>55</v>
      </c>
    </row>
    <row r="4" spans="1:16" x14ac:dyDescent="0.25">
      <c r="A4" t="s">
        <v>1</v>
      </c>
      <c r="B4" t="s">
        <v>4</v>
      </c>
      <c r="D4" t="s">
        <v>1</v>
      </c>
      <c r="E4" t="s">
        <v>4</v>
      </c>
      <c r="F4" s="2" t="s">
        <v>52</v>
      </c>
    </row>
    <row r="5" spans="1:16" x14ac:dyDescent="0.25">
      <c r="A5" s="3" t="s">
        <v>5</v>
      </c>
      <c r="B5" s="3"/>
      <c r="D5" s="3" t="s">
        <v>22</v>
      </c>
      <c r="E5" s="3"/>
      <c r="H5" s="5" t="s">
        <v>53</v>
      </c>
      <c r="I5" s="5"/>
      <c r="J5" s="4"/>
      <c r="N5" s="3"/>
      <c r="O5" s="3"/>
    </row>
    <row r="6" spans="1:16" x14ac:dyDescent="0.25">
      <c r="A6" t="s">
        <v>6</v>
      </c>
      <c r="B6" s="1">
        <v>1.57</v>
      </c>
      <c r="D6" t="s">
        <v>24</v>
      </c>
      <c r="E6" s="1">
        <v>1.69</v>
      </c>
      <c r="F6">
        <v>1.69</v>
      </c>
      <c r="H6" t="s">
        <v>28</v>
      </c>
      <c r="I6" s="1">
        <v>1.76</v>
      </c>
      <c r="J6" s="1"/>
      <c r="O6" s="1"/>
    </row>
    <row r="7" spans="1:16" x14ac:dyDescent="0.25">
      <c r="A7" t="s">
        <v>7</v>
      </c>
      <c r="B7" s="1">
        <v>4255</v>
      </c>
      <c r="D7" t="s">
        <v>25</v>
      </c>
      <c r="E7" s="1">
        <v>3470</v>
      </c>
      <c r="F7">
        <v>3472</v>
      </c>
      <c r="H7" t="s">
        <v>29</v>
      </c>
      <c r="I7" s="1">
        <v>0.45</v>
      </c>
      <c r="J7" s="1"/>
      <c r="O7" s="1"/>
    </row>
    <row r="8" spans="1:16" x14ac:dyDescent="0.25">
      <c r="A8" t="s">
        <v>8</v>
      </c>
      <c r="B8" s="1">
        <v>2.1999999999999999E-2</v>
      </c>
      <c r="D8" t="s">
        <v>26</v>
      </c>
      <c r="E8" s="1">
        <v>0.03</v>
      </c>
      <c r="F8">
        <v>0.03</v>
      </c>
      <c r="H8" t="s">
        <v>30</v>
      </c>
      <c r="I8" s="1">
        <f>I6*I7</f>
        <v>0.79200000000000004</v>
      </c>
      <c r="J8" s="1"/>
      <c r="O8" s="1"/>
    </row>
    <row r="9" spans="1:16" x14ac:dyDescent="0.25">
      <c r="A9" t="s">
        <v>17</v>
      </c>
      <c r="B9" s="1">
        <v>0.436</v>
      </c>
      <c r="D9" t="s">
        <v>27</v>
      </c>
      <c r="E9" s="1">
        <v>0.40899999999999997</v>
      </c>
      <c r="F9">
        <v>0.40899999999999997</v>
      </c>
      <c r="H9" t="s">
        <v>31</v>
      </c>
      <c r="I9" s="1">
        <f>I6*(1-I7)</f>
        <v>0.96800000000000008</v>
      </c>
      <c r="J9" s="1"/>
      <c r="O9" s="1"/>
    </row>
    <row r="10" spans="1:16" x14ac:dyDescent="0.25">
      <c r="H10" t="s">
        <v>32</v>
      </c>
      <c r="I10" s="1">
        <v>2578</v>
      </c>
    </row>
    <row r="11" spans="1:16" x14ac:dyDescent="0.25">
      <c r="A11" s="3" t="s">
        <v>9</v>
      </c>
      <c r="B11" s="3"/>
      <c r="D11" s="3" t="s">
        <v>23</v>
      </c>
      <c r="E11" s="3"/>
      <c r="H11" t="s">
        <v>33</v>
      </c>
      <c r="I11" s="1">
        <v>3727</v>
      </c>
      <c r="J11" s="4"/>
      <c r="N11" s="3"/>
      <c r="O11" s="3"/>
      <c r="P11" s="2"/>
    </row>
    <row r="12" spans="1:16" x14ac:dyDescent="0.25">
      <c r="A12" t="s">
        <v>18</v>
      </c>
      <c r="B12" s="1">
        <v>1.65</v>
      </c>
      <c r="D12" t="s">
        <v>28</v>
      </c>
      <c r="E12" s="1">
        <v>1.76</v>
      </c>
      <c r="F12" s="1">
        <v>1.79</v>
      </c>
      <c r="H12" t="s">
        <v>34</v>
      </c>
      <c r="I12" s="1">
        <v>0.03</v>
      </c>
      <c r="J12" s="1">
        <f>I12*130</f>
        <v>3.9</v>
      </c>
      <c r="O12" s="1"/>
      <c r="P12" s="1"/>
    </row>
    <row r="13" spans="1:16" x14ac:dyDescent="0.25">
      <c r="A13" t="s">
        <v>19</v>
      </c>
      <c r="B13" s="1">
        <v>0.51</v>
      </c>
      <c r="D13" t="s">
        <v>29</v>
      </c>
      <c r="E13" s="1">
        <v>0.45</v>
      </c>
      <c r="F13" s="1">
        <v>0.49</v>
      </c>
      <c r="H13" t="s">
        <v>35</v>
      </c>
      <c r="I13" s="1">
        <v>3.3000000000000002E-2</v>
      </c>
      <c r="J13" s="1">
        <f>I13*130</f>
        <v>4.29</v>
      </c>
      <c r="O13" s="1"/>
      <c r="P13" s="1"/>
    </row>
    <row r="14" spans="1:16" x14ac:dyDescent="0.25">
      <c r="A14" t="s">
        <v>10</v>
      </c>
      <c r="B14" s="1">
        <f>B12*B13</f>
        <v>0.84149999999999991</v>
      </c>
      <c r="D14" t="s">
        <v>30</v>
      </c>
      <c r="E14" s="1">
        <f>E12*E13</f>
        <v>0.79200000000000004</v>
      </c>
      <c r="F14" s="1">
        <f>F12*F13</f>
        <v>0.87709999999999999</v>
      </c>
      <c r="H14" s="5" t="s">
        <v>54</v>
      </c>
      <c r="I14" s="5"/>
      <c r="J14" s="1"/>
      <c r="O14" s="1"/>
      <c r="P14" s="1"/>
    </row>
    <row r="15" spans="1:16" x14ac:dyDescent="0.25">
      <c r="A15" t="s">
        <v>11</v>
      </c>
      <c r="B15" s="1">
        <f>B12*(1-B13)</f>
        <v>0.8085</v>
      </c>
      <c r="D15" t="s">
        <v>31</v>
      </c>
      <c r="E15" s="1">
        <f>E12*(1-E13)</f>
        <v>0.96800000000000008</v>
      </c>
      <c r="F15" s="1">
        <f>F12*(1-F13)</f>
        <v>0.91290000000000004</v>
      </c>
      <c r="H15" t="s">
        <v>42</v>
      </c>
      <c r="I15" s="1">
        <v>1.47</v>
      </c>
      <c r="J15" s="1"/>
      <c r="O15" s="1"/>
      <c r="P15" s="1"/>
    </row>
    <row r="16" spans="1:16" x14ac:dyDescent="0.25">
      <c r="A16" t="s">
        <v>12</v>
      </c>
      <c r="B16" s="1">
        <v>2363</v>
      </c>
      <c r="D16" t="s">
        <v>32</v>
      </c>
      <c r="E16" s="1">
        <v>2568</v>
      </c>
      <c r="F16" s="1">
        <v>2077</v>
      </c>
      <c r="H16" t="s">
        <v>43</v>
      </c>
      <c r="I16" s="1">
        <v>0.62</v>
      </c>
      <c r="J16" s="1"/>
      <c r="O16" s="1"/>
      <c r="P16" s="1"/>
    </row>
    <row r="17" spans="1:16" x14ac:dyDescent="0.25">
      <c r="A17" t="s">
        <v>13</v>
      </c>
      <c r="B17" s="1">
        <v>4854</v>
      </c>
      <c r="D17" t="s">
        <v>33</v>
      </c>
      <c r="E17" s="1">
        <v>3725</v>
      </c>
      <c r="F17" s="1">
        <v>4167</v>
      </c>
      <c r="H17" t="s">
        <v>44</v>
      </c>
      <c r="I17" s="1">
        <f>I15*I16</f>
        <v>0.91139999999999999</v>
      </c>
      <c r="J17" s="1"/>
      <c r="O17" s="1"/>
      <c r="P17" s="1"/>
    </row>
    <row r="18" spans="1:16" x14ac:dyDescent="0.25">
      <c r="A18" t="s">
        <v>14</v>
      </c>
      <c r="B18" s="1">
        <v>3.2000000000000001E-2</v>
      </c>
      <c r="C18">
        <f>B18*130</f>
        <v>4.16</v>
      </c>
      <c r="D18" t="s">
        <v>34</v>
      </c>
      <c r="E18" s="1">
        <v>0.03</v>
      </c>
      <c r="F18" s="1">
        <v>3.4000000000000002E-2</v>
      </c>
      <c r="H18" t="s">
        <v>45</v>
      </c>
      <c r="I18" s="1">
        <f>I15*(1-I16)</f>
        <v>0.55859999999999999</v>
      </c>
      <c r="J18" s="1"/>
      <c r="O18" s="1"/>
      <c r="P18" s="1"/>
    </row>
    <row r="19" spans="1:16" x14ac:dyDescent="0.25">
      <c r="A19" t="s">
        <v>15</v>
      </c>
      <c r="B19" s="1">
        <v>2.4E-2</v>
      </c>
      <c r="C19">
        <f>B19*130</f>
        <v>3.12</v>
      </c>
      <c r="D19" t="s">
        <v>35</v>
      </c>
      <c r="E19" s="1">
        <v>3.3000000000000002E-2</v>
      </c>
      <c r="F19" s="1">
        <v>0.03</v>
      </c>
      <c r="H19" t="s">
        <v>46</v>
      </c>
      <c r="I19" s="1">
        <v>1962</v>
      </c>
      <c r="J19" s="1"/>
      <c r="O19" s="1"/>
      <c r="P19" s="1"/>
    </row>
    <row r="20" spans="1:16" x14ac:dyDescent="0.25">
      <c r="B20" s="1"/>
      <c r="H20" t="s">
        <v>47</v>
      </c>
      <c r="I20" s="1">
        <v>6483</v>
      </c>
    </row>
    <row r="21" spans="1:16" x14ac:dyDescent="0.25">
      <c r="D21" s="3" t="s">
        <v>36</v>
      </c>
      <c r="E21" s="3"/>
      <c r="H21" t="s">
        <v>48</v>
      </c>
      <c r="I21" s="1">
        <v>4.5999999999999999E-2</v>
      </c>
      <c r="J21" s="1">
        <f>I21*130</f>
        <v>5.9799999999999995</v>
      </c>
      <c r="N21" s="3"/>
      <c r="O21" s="3"/>
    </row>
    <row r="22" spans="1:16" x14ac:dyDescent="0.25">
      <c r="A22" t="s">
        <v>16</v>
      </c>
      <c r="B22" t="s">
        <v>20</v>
      </c>
      <c r="D22" t="s">
        <v>37</v>
      </c>
      <c r="E22" s="1">
        <v>1.27</v>
      </c>
      <c r="F22" s="1">
        <v>1.26</v>
      </c>
      <c r="H22" t="s">
        <v>49</v>
      </c>
      <c r="I22" s="1">
        <v>2.5000000000000001E-2</v>
      </c>
      <c r="J22" s="1">
        <f>I22*130</f>
        <v>3.25</v>
      </c>
      <c r="O22" s="1"/>
    </row>
    <row r="23" spans="1:16" x14ac:dyDescent="0.25">
      <c r="D23" t="s">
        <v>38</v>
      </c>
      <c r="E23" s="1">
        <v>5382</v>
      </c>
      <c r="F23" s="1">
        <v>5371</v>
      </c>
      <c r="O23" s="1"/>
    </row>
    <row r="24" spans="1:16" x14ac:dyDescent="0.25">
      <c r="A24" t="s">
        <v>1</v>
      </c>
      <c r="B24" s="1">
        <v>1</v>
      </c>
      <c r="D24" t="s">
        <v>39</v>
      </c>
      <c r="E24" s="1">
        <v>2.1000000000000001E-2</v>
      </c>
      <c r="F24" s="1">
        <v>0.02</v>
      </c>
      <c r="O24" s="1"/>
    </row>
    <row r="25" spans="1:16" x14ac:dyDescent="0.25">
      <c r="A25" s="3" t="s">
        <v>5</v>
      </c>
      <c r="B25" s="3"/>
      <c r="D25" t="s">
        <v>40</v>
      </c>
      <c r="E25" s="1">
        <v>0.47599999999999998</v>
      </c>
      <c r="F25" s="1">
        <v>0.47599999999999998</v>
      </c>
      <c r="O25" s="1"/>
    </row>
    <row r="26" spans="1:16" x14ac:dyDescent="0.25">
      <c r="A26" t="s">
        <v>6</v>
      </c>
      <c r="B26" s="1">
        <v>1.57</v>
      </c>
    </row>
    <row r="27" spans="1:16" x14ac:dyDescent="0.25">
      <c r="A27" t="s">
        <v>7</v>
      </c>
      <c r="B27" s="1">
        <v>4255</v>
      </c>
      <c r="D27" s="3" t="s">
        <v>41</v>
      </c>
      <c r="E27" s="3"/>
      <c r="F27" s="2"/>
      <c r="N27" s="3"/>
      <c r="O27" s="3"/>
      <c r="P27" s="2"/>
    </row>
    <row r="28" spans="1:16" x14ac:dyDescent="0.25">
      <c r="A28" t="s">
        <v>8</v>
      </c>
      <c r="B28" s="1">
        <v>0.02</v>
      </c>
      <c r="D28" t="s">
        <v>42</v>
      </c>
      <c r="E28" s="1">
        <v>1.48</v>
      </c>
      <c r="F28" s="1">
        <v>1.4</v>
      </c>
      <c r="O28" s="1"/>
      <c r="P28" s="1"/>
    </row>
    <row r="29" spans="1:16" x14ac:dyDescent="0.25">
      <c r="A29" t="s">
        <v>17</v>
      </c>
      <c r="B29" s="1">
        <v>0.44</v>
      </c>
      <c r="D29" t="s">
        <v>43</v>
      </c>
      <c r="E29" s="1">
        <v>0.62</v>
      </c>
      <c r="F29" s="1">
        <v>0.56999999999999995</v>
      </c>
      <c r="O29" s="1"/>
      <c r="P29" s="1"/>
    </row>
    <row r="30" spans="1:16" x14ac:dyDescent="0.25">
      <c r="D30" t="s">
        <v>44</v>
      </c>
      <c r="E30" s="1">
        <f>E28*E29</f>
        <v>0.91759999999999997</v>
      </c>
      <c r="F30" s="1">
        <f>F28*F29</f>
        <v>0.79799999999999993</v>
      </c>
      <c r="O30" s="1"/>
      <c r="P30" s="1"/>
    </row>
    <row r="31" spans="1:16" x14ac:dyDescent="0.25">
      <c r="A31" s="3" t="s">
        <v>9</v>
      </c>
      <c r="B31" s="3"/>
      <c r="D31" t="s">
        <v>45</v>
      </c>
      <c r="E31" s="1">
        <f>E28*(1-E29)</f>
        <v>0.56240000000000001</v>
      </c>
      <c r="F31" s="1">
        <f>F28*(1-F29)</f>
        <v>0.60199999999999998</v>
      </c>
      <c r="O31" s="1"/>
      <c r="P31" s="1"/>
    </row>
    <row r="32" spans="1:16" x14ac:dyDescent="0.25">
      <c r="A32" t="s">
        <v>18</v>
      </c>
      <c r="B32" s="1">
        <v>1.65</v>
      </c>
      <c r="D32" t="s">
        <v>46</v>
      </c>
      <c r="E32" s="1">
        <v>1963</v>
      </c>
      <c r="F32" s="1">
        <v>2863</v>
      </c>
      <c r="O32" s="1"/>
      <c r="P32" s="1"/>
    </row>
    <row r="33" spans="1:17" x14ac:dyDescent="0.25">
      <c r="A33" t="s">
        <v>19</v>
      </c>
      <c r="B33" s="1">
        <v>0.51</v>
      </c>
      <c r="D33" t="s">
        <v>47</v>
      </c>
      <c r="E33" s="1">
        <v>6494</v>
      </c>
      <c r="F33" s="1">
        <v>5742</v>
      </c>
      <c r="O33" s="1"/>
      <c r="P33" s="1"/>
    </row>
    <row r="34" spans="1:17" x14ac:dyDescent="0.25">
      <c r="A34" t="s">
        <v>10</v>
      </c>
      <c r="B34" s="1">
        <f>B32*B33</f>
        <v>0.84149999999999991</v>
      </c>
      <c r="D34" t="s">
        <v>48</v>
      </c>
      <c r="E34" s="1">
        <v>4.5999999999999999E-2</v>
      </c>
      <c r="F34" s="1">
        <v>2.9000000000000001E-2</v>
      </c>
      <c r="G34" s="1">
        <f>F34*130</f>
        <v>3.77</v>
      </c>
      <c r="O34" s="1"/>
      <c r="P34" s="1"/>
      <c r="Q34" s="1"/>
    </row>
    <row r="35" spans="1:17" x14ac:dyDescent="0.25">
      <c r="A35" t="s">
        <v>11</v>
      </c>
      <c r="B35" s="1">
        <f>B32*(1-B33)</f>
        <v>0.8085</v>
      </c>
      <c r="D35" t="s">
        <v>49</v>
      </c>
      <c r="E35" s="1">
        <v>2.5000000000000001E-2</v>
      </c>
      <c r="F35" s="1">
        <v>2.5999999999999999E-2</v>
      </c>
      <c r="G35" s="1">
        <f>F35*130</f>
        <v>3.38</v>
      </c>
      <c r="O35" s="1"/>
      <c r="P35" s="1"/>
      <c r="Q35" s="1"/>
    </row>
    <row r="36" spans="1:17" x14ac:dyDescent="0.25">
      <c r="A36" t="s">
        <v>12</v>
      </c>
      <c r="B36" s="1">
        <v>2363</v>
      </c>
    </row>
    <row r="37" spans="1:17" x14ac:dyDescent="0.25">
      <c r="A37" t="s">
        <v>13</v>
      </c>
      <c r="B37" s="1">
        <v>4854</v>
      </c>
    </row>
    <row r="38" spans="1:17" x14ac:dyDescent="0.25">
      <c r="A38" t="s">
        <v>14</v>
      </c>
      <c r="B38" s="1">
        <v>3.2000000000000001E-2</v>
      </c>
      <c r="E38" s="1"/>
    </row>
    <row r="39" spans="1:17" x14ac:dyDescent="0.25">
      <c r="A39" t="s">
        <v>15</v>
      </c>
      <c r="B39" s="1">
        <v>2.4E-2</v>
      </c>
      <c r="E39" s="1"/>
    </row>
  </sheetData>
  <mergeCells count="15">
    <mergeCell ref="H14:I14"/>
    <mergeCell ref="D21:E21"/>
    <mergeCell ref="N21:O21"/>
    <mergeCell ref="A25:B25"/>
    <mergeCell ref="D27:E27"/>
    <mergeCell ref="N27:O27"/>
    <mergeCell ref="A31:B31"/>
    <mergeCell ref="A1:F1"/>
    <mergeCell ref="A5:B5"/>
    <mergeCell ref="D5:E5"/>
    <mergeCell ref="N5:O5"/>
    <mergeCell ref="A11:B11"/>
    <mergeCell ref="D11:E11"/>
    <mergeCell ref="N11:O11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mask</vt:lpstr>
      <vt:lpstr>Revised 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Distiller</dc:creator>
  <cp:lastModifiedBy>Greg Distiller</cp:lastModifiedBy>
  <dcterms:created xsi:type="dcterms:W3CDTF">2024-09-02T09:22:09Z</dcterms:created>
  <dcterms:modified xsi:type="dcterms:W3CDTF">2024-09-27T15:38:53Z</dcterms:modified>
</cp:coreProperties>
</file>